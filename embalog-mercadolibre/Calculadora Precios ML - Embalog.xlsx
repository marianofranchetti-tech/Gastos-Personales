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1" autoFilterDateGrouping="1"/>
  </bookViews>
  <sheets>
    <sheet name="Parametros" sheetId="1" state="visible" r:id="rId1"/>
    <sheet name="Calculadora" sheetId="2" state="visible" r:id="rId2"/>
    <sheet name="Comisiones ML (datos)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%"/>
    <numFmt numFmtId="166" formatCode="\$#,##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  <color rgb="FF0000FF"/>
      <sz val="11"/>
    </font>
    <font>
      <name val="Arial"/>
      <b val="1"/>
      <color rgb="FF7F6000"/>
      <sz val="11"/>
    </font>
    <font>
      <name val="Arial"/>
      <b val="1"/>
      <sz val="13"/>
    </font>
    <font>
      <name val="Arial"/>
      <b val="1"/>
      <sz val="9"/>
    </font>
    <font>
      <name val="Arial"/>
      <sz val="9"/>
    </font>
    <font>
      <name val="Arial"/>
      <b val="1"/>
      <color rgb="009C0006"/>
      <sz val="9"/>
    </font>
    <font>
      <name val="Arial"/>
      <b val="1"/>
      <i val="1"/>
      <sz val="9"/>
    </font>
    <font>
      <name val="Arial"/>
      <i val="1"/>
      <sz val="8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6" fontId="4" fillId="2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1" pivotButton="0" quotePrefix="0" xfId="0"/>
    <xf numFmtId="166" fontId="4" fillId="0" borderId="1" pivotButton="0" quotePrefix="0" xfId="0"/>
    <xf numFmtId="0" fontId="4" fillId="0" borderId="1" pivotButton="0" quotePrefix="0" xfId="0"/>
    <xf numFmtId="0" fontId="3" fillId="2" borderId="1" pivotButton="0" quotePrefix="0" xfId="0"/>
    <xf numFmtId="166" fontId="0" fillId="0" borderId="1" pivotButton="0" quotePrefix="0" xfId="0"/>
    <xf numFmtId="164" fontId="0" fillId="2" borderId="1" pivotButton="0" quotePrefix="0" xfId="0"/>
    <xf numFmtId="166" fontId="3" fillId="2" borderId="1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horizontal="center"/>
    </xf>
    <xf numFmtId="0" fontId="3" fillId="3" borderId="0" pivotButton="0" quotePrefix="0" xfId="0"/>
    <xf numFmtId="166" fontId="8" fillId="0" borderId="0" pivotButton="0" quotePrefix="0" xfId="0"/>
    <xf numFmtId="0" fontId="7" fillId="0" borderId="0" pivotButton="0" quotePrefix="0" xfId="0"/>
    <xf numFmtId="0" fontId="9" fillId="0" borderId="1" pivotButton="0" quotePrefix="0" xfId="0"/>
    <xf numFmtId="0" fontId="10" fillId="0" borderId="0" pivotButton="0" quotePrefix="0" xfId="0"/>
    <xf numFmtId="166" fontId="3" fillId="4" borderId="1" pivotButton="0" quotePrefix="0" xfId="0"/>
    <xf numFmtId="0" fontId="11" fillId="0" borderId="0" pivotButton="0" quotePrefix="0" xfId="0"/>
    <xf numFmtId="166" fontId="3" fillId="5" borderId="1" pivotButton="0" quotePrefix="0" xfId="0"/>
  </cellXfs>
  <cellStyles count="1">
    <cellStyle name="Normal" xfId="0" builtinId="0"/>
  </cellStyles>
  <dxfs count="3">
    <dxf>
      <font>
        <name val="Arial"/>
        <color rgb="FF9C6500"/>
      </font>
      <fill>
        <patternFill patternType="solid">
          <fgColor rgb="FFFFEB9C"/>
        </patternFill>
      </fill>
    </dxf>
    <dxf>
      <font>
        <name val="Arial"/>
        <color rgb="FF9C0006"/>
      </font>
      <fill>
        <patternFill patternType="solid">
          <fgColor rgb="FFFFC7CE"/>
        </patternFill>
      </fill>
    </dxf>
    <dxf>
      <font>
        <name val="Arial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B15" sqref="B15"/>
    </sheetView>
  </sheetViews>
  <sheetFormatPr baseColWidth="10" defaultColWidth="9.140625" defaultRowHeight="15"/>
  <cols>
    <col width="52" customWidth="1" min="1" max="1"/>
    <col width="14" customWidth="1" min="2" max="2"/>
    <col width="95.5703125" bestFit="1" customWidth="1" min="3" max="3"/>
  </cols>
  <sheetData>
    <row r="1" ht="18" customHeight="1">
      <c r="A1" s="1" t="inlineStr">
        <is>
          <t>PARÁMETROS MERCADO LIBRE — Embalog Packaging</t>
        </is>
      </c>
    </row>
    <row r="2">
      <c r="A2" s="2" t="inlineStr">
        <is>
          <t>Fuente: API ML /sites/MLA/listing_prices (categoría MLA405117, tipo Clásica) consultada el 16-jul-2026. Los valores CAMBIAN seguido: re-verificar cada tanto.</t>
        </is>
      </c>
    </row>
    <row r="4">
      <c r="A4" s="3" t="inlineStr">
        <is>
          <t>IVA</t>
        </is>
      </c>
      <c r="B4" s="4" t="n">
        <v>0.21</v>
      </c>
      <c r="C4" s="2" t="inlineStr">
        <is>
          <t>Alicuota general. Los precios de Odoo son netos; ML publica precio final con IVA.</t>
        </is>
      </c>
    </row>
    <row r="5">
      <c r="A5" s="3" t="inlineStr">
        <is>
          <t>Comisión ML Clásica (%)</t>
        </is>
      </c>
      <c r="B5" s="5" t="n">
        <v>0.1532085</v>
      </c>
      <c r="C5" s="2" t="inlineStr">
        <is>
          <t>Medida vía API el 16-jul-2026 para tu categoría.</t>
        </is>
      </c>
    </row>
    <row r="6">
      <c r="A6" s="3" t="inlineStr">
        <is>
          <t>Umbral tramo 1 → 2 del costo fijo ($)</t>
        </is>
      </c>
      <c r="B6" s="6" t="n">
        <v>16000</v>
      </c>
      <c r="C6" s="2" t="inlineStr">
        <is>
          <t>SUPUESTO: la API mostró $1.250 hasta $15.000 y $2.505 en $20.000; el corte exacto no es público.</t>
        </is>
      </c>
    </row>
    <row r="7">
      <c r="A7" s="3" t="inlineStr">
        <is>
          <t>Umbral tramo 2 → 3 del costo fijo ($)</t>
        </is>
      </c>
      <c r="B7" s="6" t="n">
        <v>25000</v>
      </c>
      <c r="C7" s="2" t="inlineStr">
        <is>
          <t>SUPUESTO: la API mostró $2.505 en $20.000 y $3.005 en $30.000.</t>
        </is>
      </c>
    </row>
    <row r="8">
      <c r="A8" s="3" t="inlineStr">
        <is>
          <t>Umbral SIN costo fijo ($)</t>
        </is>
      </c>
      <c r="B8" s="6" t="n">
        <v>40000</v>
      </c>
      <c r="C8" s="2" t="inlineStr">
        <is>
          <t>Verificado: a $40.000+ el costo fijo es $0. LA CLAVE: publicar packs arriba de este valor.</t>
        </is>
      </c>
    </row>
    <row r="9">
      <c r="A9" s="3" t="inlineStr">
        <is>
          <t>Costo fijo tramo 1 ($)</t>
        </is>
      </c>
      <c r="B9" s="6" t="n">
        <v>1250</v>
      </c>
      <c r="C9" s="2" t="inlineStr">
        <is>
          <t>Precio final hasta el umbral tramo 1.</t>
        </is>
      </c>
    </row>
    <row r="10">
      <c r="A10" s="3" t="inlineStr">
        <is>
          <t>Costo fijo tramo 2 ($)</t>
        </is>
      </c>
      <c r="B10" s="6" t="n">
        <v>2505</v>
      </c>
      <c r="C10" s="2" t="inlineStr">
        <is>
          <t>Entre umbral 1 y 2.</t>
        </is>
      </c>
    </row>
    <row r="11">
      <c r="A11" s="3" t="inlineStr">
        <is>
          <t>Costo fijo tramo 3 ($)</t>
        </is>
      </c>
      <c r="B11" s="6" t="n">
        <v>3005</v>
      </c>
      <c r="C11" s="2" t="inlineStr">
        <is>
          <t>Entre umbral 2 y el umbral sin costo fijo.</t>
        </is>
      </c>
    </row>
    <row r="12">
      <c r="A12" s="3" t="inlineStr">
        <is>
          <t>Envío estimado por pack ($)</t>
        </is>
      </c>
      <c r="B12" s="7" t="n">
        <v>29860</v>
      </c>
      <c r="C12" s="2" t="inlineStr">
        <is>
          <t>EDITABLE. Costo real Mercado Envios (API 16-jul-2026), tramo minimo (hasta 15 kg facturable): $29.860. Tramos: 15-18,5kg $35.660 | 18,5-23kg $42.840. Las filas ya cargadas tienen su envio real pisado en la columna N.</t>
        </is>
      </c>
    </row>
    <row r="13">
      <c r="A13" s="3" t="inlineStr">
        <is>
          <t>Buffer financiación / cuotas (%)</t>
        </is>
      </c>
      <c r="B13" s="8" t="n">
        <v>0</v>
      </c>
      <c r="C13" s="2" t="inlineStr">
        <is>
          <t>EDITABLE. En 0 porque NO se ofrecen cuotas sin interes. Si activas cuotas en ML, poner el % correspondiente y recalcular precios (bajan ~5-7 puntos de margen).</t>
        </is>
      </c>
    </row>
    <row r="14">
      <c r="A14" s="3" t="inlineStr">
        <is>
          <t>Margen objetivo sobre costo (%)</t>
        </is>
      </c>
      <c r="B14" s="8" t="n">
        <v>0.28</v>
      </c>
      <c r="C14" s="2" t="inlineStr">
        <is>
          <t>EDITABLE. Ganancia neta buscada sobre el costo del pack. 25% ≈ tu precio actual de la caja x36.</t>
        </is>
      </c>
    </row>
    <row r="16">
      <c r="A16" s="9" t="inlineStr">
        <is>
          <t>Celdas AMARILLAS = las tocás vos. El resto no hace falta tocarlo.</t>
        </is>
      </c>
    </row>
    <row r="18">
      <c r="A18" s="25" t="inlineStr">
        <is>
          <t>PLAN HIBRIDO aplicado 17-jul-2026: formato chico &lt;$40k (envio a cargo del comprador) + 3 banderas con envio gratis (reputacion).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tabSelected="1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I8" sqref="I8"/>
    </sheetView>
  </sheetViews>
  <sheetFormatPr baseColWidth="10" defaultColWidth="9.140625" defaultRowHeight="15"/>
  <cols>
    <col width="8" customWidth="1" min="1" max="1"/>
    <col width="9" customWidth="1" min="2" max="2"/>
    <col width="70.7109375" bestFit="1" customWidth="1" min="3" max="3"/>
    <col width="11" customWidth="1" min="4" max="5"/>
    <col width="7" customWidth="1" min="6" max="6"/>
    <col width="9" customWidth="1" min="7" max="7"/>
    <col width="11" customWidth="1" min="8" max="8"/>
    <col width="10" customWidth="1" min="9" max="9"/>
    <col width="12" customWidth="1" min="10" max="11"/>
    <col width="13" customWidth="1" min="12" max="12"/>
    <col width="11" customWidth="1" min="13" max="13"/>
    <col width="9" customWidth="1" min="14" max="14"/>
    <col width="11" customWidth="1" min="15" max="18"/>
    <col width="9" customWidth="1" min="19" max="19"/>
    <col width="15" customWidth="1" min="20" max="20"/>
    <col width="12" customWidth="1" min="21" max="21"/>
    <col width="10" customWidth="1" min="22" max="22"/>
  </cols>
  <sheetData>
    <row r="1" ht="16.5" customHeight="1">
      <c r="A1" s="10" t="inlineStr">
        <is>
          <t>CALCULADORA DE PRECIOS PARA MERCADO LIBRE — packs para esquivar el costo fijo</t>
        </is>
      </c>
    </row>
    <row r="2">
      <c r="A2" s="2" t="inlineStr">
        <is>
          <t>AMARILLO = editable (Unid/pack, Margen, Precio a publicar) · AZUL = dato de Odoo (16-jul-2026) · resto = fórmulas. El pack sugerido apunta a superar $42.000 finales (sin costo fijo de ML): AJUSTALO al múltiplo de tu caja cerrada.</t>
        </is>
      </c>
    </row>
    <row r="3" ht="42" customHeight="1">
      <c r="A3" s="11" t="inlineStr">
        <is>
          <t>Id Odoo</t>
        </is>
      </c>
      <c r="B3" s="11" t="inlineStr">
        <is>
          <t>Código</t>
        </is>
      </c>
      <c r="C3" s="11" t="inlineStr">
        <is>
          <t>Producto</t>
        </is>
      </c>
      <c r="D3" s="11" t="inlineStr">
        <is>
          <t>Costo unit. neto $</t>
        </is>
      </c>
      <c r="E3" s="11" t="inlineStr">
        <is>
          <t>Precio Odoo unit. neto $</t>
        </is>
      </c>
      <c r="F3" s="11" t="inlineStr">
        <is>
          <t>Stock</t>
        </is>
      </c>
      <c r="G3" s="11" t="inlineStr">
        <is>
          <t>Unid. por pack</t>
        </is>
      </c>
      <c r="H3" s="11" t="inlineStr">
        <is>
          <t>Costo pack neto $</t>
        </is>
      </c>
      <c r="I3" s="11" t="inlineStr">
        <is>
          <t>Margen objetivo %</t>
        </is>
      </c>
      <c r="J3" s="11" t="inlineStr">
        <is>
          <t>Precio base $ (s/costo fijo)</t>
        </is>
      </c>
      <c r="K3" s="11" t="inlineStr">
        <is>
          <t>Precio ML sugerido $</t>
        </is>
      </c>
      <c r="L3" s="11" t="inlineStr">
        <is>
          <t>PRECIO A PUBLICAR $ (IVA incl.)</t>
        </is>
      </c>
      <c r="M3" s="11" t="inlineStr">
        <is>
          <t>Comisión ML $</t>
        </is>
      </c>
      <c r="N3" s="11" t="inlineStr">
        <is>
          <t>Envío $</t>
        </is>
      </c>
      <c r="O3" s="11" t="inlineStr">
        <is>
          <t>Financiación $</t>
        </is>
      </c>
      <c r="P3" s="11" t="inlineStr">
        <is>
          <t>Recibís $</t>
        </is>
      </c>
      <c r="Q3" s="11" t="inlineStr">
        <is>
          <t>Recibís neto s/IVA $</t>
        </is>
      </c>
      <c r="R3" s="11" t="inlineStr">
        <is>
          <t>Ganancia $</t>
        </is>
      </c>
      <c r="S3" s="11" t="inlineStr">
        <is>
          <t>Margen real %</t>
        </is>
      </c>
      <c r="T3" s="11" t="inlineStr">
        <is>
          <t>Estado</t>
        </is>
      </c>
      <c r="U3" s="11" t="inlineStr">
        <is>
          <t>Precio unit. equiv. neto $</t>
        </is>
      </c>
      <c r="V3" s="11" t="inlineStr">
        <is>
          <t>Vs precio Odoo %</t>
        </is>
      </c>
    </row>
    <row r="4">
      <c r="A4" s="12" t="n">
        <v>897</v>
      </c>
      <c r="B4" s="12" t="inlineStr">
        <is>
          <t>EP1032</t>
        </is>
      </c>
      <c r="C4" s="12" t="inlineStr">
        <is>
          <t>Cinta De Embalaje Transparente 24 Mm x 45 Mts</t>
        </is>
      </c>
      <c r="D4" s="13" t="n">
        <v>253</v>
      </c>
      <c r="E4" s="13" t="n">
        <v>590</v>
      </c>
      <c r="F4" s="14" t="n">
        <v>0</v>
      </c>
      <c r="G4" s="15" t="n">
        <v>72</v>
      </c>
      <c r="H4" s="16">
        <f>D4*G4</f>
        <v/>
      </c>
      <c r="I4" s="17">
        <f>Parametros!$B$14</f>
        <v/>
      </c>
      <c r="J4" s="16">
        <f>((1+Parametros!$B$4)*H4*(1+I4)+Parametros!$B$12)/(1-Parametros!$B$5-Parametros!$B$13)</f>
        <v/>
      </c>
      <c r="K4" s="16">
        <f>((1+Parametros!$B$4)*H4*(1+I4)+Parametros!$B$12+IF(J4&gt;=Parametros!$B$8,0,IF(J4&gt;=Parametros!$B$7,Parametros!$B$11,IF(J4&gt;=Parametros!$B$6,Parametros!$B$10,Parametros!$B$9))))/(1-Parametros!$B$5-Parametros!$B$13)</f>
        <v/>
      </c>
      <c r="L4" s="26" t="n">
        <v>30900</v>
      </c>
      <c r="M4" s="16">
        <f>L4*Parametros!$B$5+IF(L4&gt;=Parametros!$B$8,0,IF(L4&gt;=Parametros!$B$7,Parametros!$B$11,IF(L4&gt;=Parametros!$B$6,Parametros!$B$10,Parametros!$B$9)))</f>
        <v/>
      </c>
      <c r="N4" s="16" t="n">
        <v>0</v>
      </c>
      <c r="O4" s="16">
        <f>L4*Parametros!$B$13</f>
        <v/>
      </c>
      <c r="P4" s="16">
        <f>L4-M4-N4-O4</f>
        <v/>
      </c>
      <c r="Q4" s="16">
        <f>P4/(1+Parametros!$B$4)</f>
        <v/>
      </c>
      <c r="R4" s="16">
        <f>Q4-H4</f>
        <v/>
      </c>
      <c r="S4" s="19">
        <f>IF(H4=0,0,R4/H4)</f>
        <v/>
      </c>
      <c r="T4" s="20">
        <f>IF(L4&lt;Parametros!$B$8,"PAGA COSTO FIJO",IF(S4&gt;=I4,"OK","AJUSTAR"))</f>
        <v/>
      </c>
      <c r="U4" s="16">
        <f>L4/(1+Parametros!$B$4)/G4</f>
        <v/>
      </c>
      <c r="V4" s="19">
        <f>IF(E4=0,0,U4/E4-1)</f>
        <v/>
      </c>
      <c r="W4" s="27" t="inlineStr">
        <is>
          <t>Formato chico (envío a cargo del comprador)</t>
        </is>
      </c>
    </row>
    <row r="5">
      <c r="A5" s="12" t="n">
        <v>900</v>
      </c>
      <c r="B5" s="12" t="inlineStr">
        <is>
          <t>EP1029</t>
        </is>
      </c>
      <c r="C5" s="24" t="inlineStr">
        <is>
          <t>Cinta De Embalaje Transparente 48 Mm x 90 Mts  [NO PUBLICAR: duplicado de fila 6]</t>
        </is>
      </c>
      <c r="D5" s="13" t="n">
        <v>925</v>
      </c>
      <c r="E5" s="13" t="n">
        <v>1419</v>
      </c>
      <c r="F5" s="14" t="n">
        <v>1</v>
      </c>
      <c r="G5" s="15" t="n">
        <v>36</v>
      </c>
      <c r="H5" s="16">
        <f>D5*G5</f>
        <v/>
      </c>
      <c r="I5" s="17">
        <f>Parametros!$B$14</f>
        <v/>
      </c>
      <c r="J5" s="16">
        <f>((1+Parametros!$B$4)*H5*(1+I5)+Parametros!$B$12)/(1-Parametros!$B$5-Parametros!$B$13)</f>
        <v/>
      </c>
      <c r="K5" s="16">
        <f>((1+Parametros!$B$4)*H5*(1+I5)+Parametros!$B$12+IF(J5&gt;=Parametros!$B$8,0,IF(J5&gt;=Parametros!$B$7,Parametros!$B$11,IF(J5&gt;=Parametros!$B$6,Parametros!$B$10,Parametros!$B$9))))/(1-Parametros!$B$5-Parametros!$B$13)</f>
        <v/>
      </c>
      <c r="L5" s="18">
        <f>CEILING(K5,500)</f>
        <v/>
      </c>
      <c r="M5" s="16">
        <f>L5*Parametros!$B$5+IF(L5&gt;=Parametros!$B$8,0,IF(L5&gt;=Parametros!$B$7,Parametros!$B$11,IF(L5&gt;=Parametros!$B$6,Parametros!$B$10,Parametros!$B$9)))</f>
        <v/>
      </c>
      <c r="N5" s="16">
        <f>Parametros!$B$12</f>
        <v/>
      </c>
      <c r="O5" s="16">
        <f>L5*Parametros!$B$13</f>
        <v/>
      </c>
      <c r="P5" s="16">
        <f>L5-M5-N5-O5</f>
        <v/>
      </c>
      <c r="Q5" s="16">
        <f>P5/(1+Parametros!$B$4)</f>
        <v/>
      </c>
      <c r="R5" s="16">
        <f>Q5-H5</f>
        <v/>
      </c>
      <c r="S5" s="19">
        <f>IF(H5=0,0,R5/H5)</f>
        <v/>
      </c>
      <c r="T5" s="20">
        <f>IF(L5&lt;Parametros!$B$8,"PAGA COSTO FIJO",IF(S5&gt;=I5,"OK","AJUSTAR"))</f>
        <v/>
      </c>
      <c r="U5" s="16">
        <f>L5/(1+Parametros!$B$4)/G5</f>
        <v/>
      </c>
      <c r="V5" s="19">
        <f>IF(E5=0,0,U5/E5-1)</f>
        <v/>
      </c>
    </row>
    <row r="6">
      <c r="A6" s="12" t="n">
        <v>1005</v>
      </c>
      <c r="B6" s="12" t="n"/>
      <c r="C6" s="12" t="inlineStr">
        <is>
          <t>Cinta De Embalaje Transp. 48 Mm x 90 Mts (Caja de 36 unid) — YA PUBLICADO EN ML</t>
        </is>
      </c>
      <c r="D6" s="13" t="n">
        <v>33315</v>
      </c>
      <c r="E6" s="13" t="n">
        <v>60230</v>
      </c>
      <c r="F6" s="14" t="n">
        <v>0</v>
      </c>
      <c r="G6" s="15" t="n">
        <v>1</v>
      </c>
      <c r="H6" s="16">
        <f>D6*G6</f>
        <v/>
      </c>
      <c r="I6" s="17">
        <f>Parametros!$B$14</f>
        <v/>
      </c>
      <c r="J6" s="16">
        <f>((1+Parametros!$B$4)*H6*(1+I6)+Parametros!$B$12)/(1-Parametros!$B$5-Parametros!$B$13)</f>
        <v/>
      </c>
      <c r="K6" s="16">
        <f>((1+Parametros!$B$4)*H6*(1+I6)+Parametros!$B$12+IF(J6&gt;=Parametros!$B$8,0,IF(J6&gt;=Parametros!$B$7,Parametros!$B$11,IF(J6&gt;=Parametros!$B$6,Parametros!$B$10,Parametros!$B$9))))/(1-Parametros!$B$5-Parametros!$B$13)</f>
        <v/>
      </c>
      <c r="L6" s="28" t="n">
        <v>75500</v>
      </c>
      <c r="M6" s="16">
        <f>L6*Parametros!$B$5+IF(L6&gt;=Parametros!$B$8,0,IF(L6&gt;=Parametros!$B$7,Parametros!$B$11,IF(L6&gt;=Parametros!$B$6,Parametros!$B$10,Parametros!$B$9)))</f>
        <v/>
      </c>
      <c r="N6" s="16" t="n">
        <v>29860</v>
      </c>
      <c r="O6" s="16">
        <f>L6*Parametros!$B$13</f>
        <v/>
      </c>
      <c r="P6" s="16">
        <f>L6-M6-N6-O6</f>
        <v/>
      </c>
      <c r="Q6" s="16">
        <f>P6/(1+Parametros!$B$4)</f>
        <v/>
      </c>
      <c r="R6" s="16">
        <f>Q6-H6</f>
        <v/>
      </c>
      <c r="S6" s="19">
        <f>IF(H6=0,0,R6/H6)</f>
        <v/>
      </c>
      <c r="T6" s="20">
        <f>IF(L6&lt;Parametros!$B$8,"PAGA COSTO FIJO",IF(S6&gt;=I6,"OK","AJUSTAR"))</f>
        <v/>
      </c>
      <c r="U6" s="16">
        <f>L6/(1+Parametros!$B$4)/G6</f>
        <v/>
      </c>
      <c r="V6" s="19">
        <f>IF(E6=0,0,U6/E6-1)</f>
        <v/>
      </c>
      <c r="W6" s="27" t="inlineStr">
        <is>
          <t>BANDERA (envío gratis)</t>
        </is>
      </c>
    </row>
    <row r="7">
      <c r="A7" s="12" t="n">
        <v>906</v>
      </c>
      <c r="B7" s="12" t="inlineStr">
        <is>
          <t>EP1059</t>
        </is>
      </c>
      <c r="C7" s="12" t="inlineStr">
        <is>
          <t>Cinta De Papel Rapifix 48 Mm x 50 Mts Con Envase</t>
        </is>
      </c>
      <c r="D7" s="13" t="n">
        <v>4552</v>
      </c>
      <c r="E7" s="13" t="n">
        <v>6463</v>
      </c>
      <c r="F7" s="14" t="n">
        <v>0</v>
      </c>
      <c r="G7" s="15" t="n">
        <v>18</v>
      </c>
      <c r="H7" s="16">
        <f>D7*G7</f>
        <v/>
      </c>
      <c r="I7" s="17">
        <f>Parametros!$B$14</f>
        <v/>
      </c>
      <c r="J7" s="16">
        <f>((1+Parametros!$B$4)*H7*(1+I7)+Parametros!$B$12)/(1-Parametros!$B$5-Parametros!$B$13)</f>
        <v/>
      </c>
      <c r="K7" s="16">
        <f>((1+Parametros!$B$4)*H7*(1+I7)+Parametros!$B$12+IF(J7&gt;=Parametros!$B$8,0,IF(J7&gt;=Parametros!$B$7,Parametros!$B$11,IF(J7&gt;=Parametros!$B$6,Parametros!$B$10,Parametros!$B$9))))/(1-Parametros!$B$5-Parametros!$B$13)</f>
        <v/>
      </c>
      <c r="L7" s="26" t="n">
        <v>33900</v>
      </c>
      <c r="M7" s="16">
        <f>L7*Parametros!$B$5+IF(L7&gt;=Parametros!$B$8,0,IF(L7&gt;=Parametros!$B$7,Parametros!$B$11,IF(L7&gt;=Parametros!$B$6,Parametros!$B$10,Parametros!$B$9)))</f>
        <v/>
      </c>
      <c r="N7" s="16" t="n">
        <v>0</v>
      </c>
      <c r="O7" s="16">
        <f>L7*Parametros!$B$13</f>
        <v/>
      </c>
      <c r="P7" s="16">
        <f>L7-M7-N7-O7</f>
        <v/>
      </c>
      <c r="Q7" s="16">
        <f>P7/(1+Parametros!$B$4)</f>
        <v/>
      </c>
      <c r="R7" s="16">
        <f>Q7-H7</f>
        <v/>
      </c>
      <c r="S7" s="19">
        <f>IF(H7=0,0,R7/H7)</f>
        <v/>
      </c>
      <c r="T7" s="20">
        <f>IF(L7&lt;Parametros!$B$8,"PAGA COSTO FIJO",IF(S7&gt;=I7,"OK","AJUSTAR"))</f>
        <v/>
      </c>
      <c r="U7" s="16">
        <f>L7/(1+Parametros!$B$4)/G7</f>
        <v/>
      </c>
      <c r="V7" s="19">
        <f>IF(E7=0,0,U7/E7-1)</f>
        <v/>
      </c>
      <c r="W7" s="27" t="inlineStr">
        <is>
          <t>Formato chico (envío a cargo del comprador)</t>
        </is>
      </c>
    </row>
    <row r="8">
      <c r="A8" s="12" t="n">
        <v>935</v>
      </c>
      <c r="B8" s="12" t="inlineStr">
        <is>
          <t>EP1020</t>
        </is>
      </c>
      <c r="C8" s="12" t="inlineStr">
        <is>
          <t>Film Alimenticio 45 Cm x 600 Mts</t>
        </is>
      </c>
      <c r="D8" s="13" t="n">
        <v>15146</v>
      </c>
      <c r="E8" s="13" t="n">
        <v>29449</v>
      </c>
      <c r="F8" s="14" t="n">
        <v>16</v>
      </c>
      <c r="G8" s="15" t="n">
        <v>4</v>
      </c>
      <c r="H8" s="16">
        <f>D8*G8</f>
        <v/>
      </c>
      <c r="I8" s="17">
        <f>Parametros!$B$14</f>
        <v/>
      </c>
      <c r="J8" s="16">
        <f>((1+Parametros!$B$4)*H8*(1+I8)+Parametros!$B$12)/(1-Parametros!$B$5-Parametros!$B$13)</f>
        <v/>
      </c>
      <c r="K8" s="16">
        <f>((1+Parametros!$B$4)*H8*(1+I8)+Parametros!$B$12+IF(J8&gt;=Parametros!$B$8,0,IF(J8&gt;=Parametros!$B$7,Parametros!$B$11,IF(J8&gt;=Parametros!$B$6,Parametros!$B$10,Parametros!$B$9))))/(1-Parametros!$B$5-Parametros!$B$13)</f>
        <v/>
      </c>
      <c r="L8" s="26" t="n">
        <v>29000</v>
      </c>
      <c r="M8" s="16">
        <f>L8*Parametros!$B$5+IF(L8&gt;=Parametros!$B$8,0,IF(L8&gt;=Parametros!$B$7,Parametros!$B$11,IF(L8&gt;=Parametros!$B$6,Parametros!$B$10,Parametros!$B$9)))</f>
        <v/>
      </c>
      <c r="N8" s="16" t="n">
        <v>0</v>
      </c>
      <c r="O8" s="16">
        <f>L8*Parametros!$B$13</f>
        <v/>
      </c>
      <c r="P8" s="16">
        <f>L8-M8-N8-O8</f>
        <v/>
      </c>
      <c r="Q8" s="16">
        <f>P8/(1+Parametros!$B$4)</f>
        <v/>
      </c>
      <c r="R8" s="16">
        <f>Q8-H8</f>
        <v/>
      </c>
      <c r="S8" s="19">
        <f>IF(H8=0,0,R8/H8)</f>
        <v/>
      </c>
      <c r="T8" s="20">
        <f>IF(L8&lt;Parametros!$B$8,"PAGA COSTO FIJO",IF(S8&gt;=I8,"OK","AJUSTAR"))</f>
        <v/>
      </c>
      <c r="U8" s="16">
        <f>L8/(1+Parametros!$B$4)/G8</f>
        <v/>
      </c>
      <c r="V8" s="19">
        <f>IF(E8=0,0,U8/E8-1)</f>
        <v/>
      </c>
      <c r="W8" s="27" t="inlineStr">
        <is>
          <t>Formato chico (envío a cargo del comprador)</t>
        </is>
      </c>
    </row>
    <row r="9">
      <c r="A9" s="12" t="n">
        <v>917</v>
      </c>
      <c r="B9" s="12" t="inlineStr">
        <is>
          <t>EP1048</t>
        </is>
      </c>
      <c r="C9" s="12" t="inlineStr">
        <is>
          <t>Film Stretch Automático Transparente 50 Cm 7.5 Kg</t>
        </is>
      </c>
      <c r="D9" s="13" t="n">
        <v>2838</v>
      </c>
      <c r="E9" s="13" t="n">
        <v>4524</v>
      </c>
      <c r="F9" s="14" t="n">
        <v>0</v>
      </c>
      <c r="G9" s="15" t="n">
        <v>22.5</v>
      </c>
      <c r="H9" s="16">
        <f>D9*G9</f>
        <v/>
      </c>
      <c r="I9" s="17">
        <f>Parametros!$B$14</f>
        <v/>
      </c>
      <c r="J9" s="16">
        <f>((1+Parametros!$B$4)*H9*(1+I9)+Parametros!$B$12)/(1-Parametros!$B$5-Parametros!$B$13)</f>
        <v/>
      </c>
      <c r="K9" s="16">
        <f>((1+Parametros!$B$4)*H9*(1+I9)+Parametros!$B$12+IF(J9&gt;=Parametros!$B$8,0,IF(J9&gt;=Parametros!$B$7,Parametros!$B$11,IF(J9&gt;=Parametros!$B$6,Parametros!$B$10,Parametros!$B$9))))/(1-Parametros!$B$5-Parametros!$B$13)</f>
        <v/>
      </c>
      <c r="L9" s="26" t="n">
        <v>39500</v>
      </c>
      <c r="M9" s="16">
        <f>L9*Parametros!$B$5+IF(L9&gt;=Parametros!$B$8,0,IF(L9&gt;=Parametros!$B$7,Parametros!$B$11,IF(L9&gt;=Parametros!$B$6,Parametros!$B$10,Parametros!$B$9)))</f>
        <v/>
      </c>
      <c r="N9" s="16" t="n">
        <v>0</v>
      </c>
      <c r="O9" s="16">
        <f>L9*Parametros!$B$13</f>
        <v/>
      </c>
      <c r="P9" s="16">
        <f>L9-M9-N9-O9</f>
        <v/>
      </c>
      <c r="Q9" s="16">
        <f>P9/(1+Parametros!$B$4)</f>
        <v/>
      </c>
      <c r="R9" s="16">
        <f>Q9-H9</f>
        <v/>
      </c>
      <c r="S9" s="19">
        <f>IF(H9=0,0,R9/H9)</f>
        <v/>
      </c>
      <c r="T9" s="20">
        <f>IF(L9&lt;Parametros!$B$8,"PAGA COSTO FIJO",IF(S9&gt;=I9,"OK","AJUSTAR"))</f>
        <v/>
      </c>
      <c r="U9" s="16">
        <f>L9/(1+Parametros!$B$4)/G9</f>
        <v/>
      </c>
      <c r="V9" s="19">
        <f>IF(E9=0,0,U9/E9-1)</f>
        <v/>
      </c>
      <c r="W9" s="27" t="inlineStr">
        <is>
          <t>Formato chico (envío a cargo del comprador)</t>
        </is>
      </c>
    </row>
    <row r="10">
      <c r="A10" s="12" t="n">
        <v>923</v>
      </c>
      <c r="B10" s="12" t="inlineStr">
        <is>
          <t>EP1016</t>
        </is>
      </c>
      <c r="C10" s="12" t="inlineStr">
        <is>
          <t>Film Stretch Manual Negro 10 Cm 0.5 Kg x Unidad</t>
        </is>
      </c>
      <c r="D10" s="13" t="n">
        <v>1686</v>
      </c>
      <c r="E10" s="13" t="n">
        <v>3203</v>
      </c>
      <c r="F10" s="14" t="n">
        <v>0</v>
      </c>
      <c r="G10" s="15" t="n">
        <v>25</v>
      </c>
      <c r="H10" s="16">
        <f>D10*G10</f>
        <v/>
      </c>
      <c r="I10" s="17">
        <f>Parametros!$B$14</f>
        <v/>
      </c>
      <c r="J10" s="16">
        <f>((1+Parametros!$B$4)*H10*(1+I10)+Parametros!$B$12)/(1-Parametros!$B$5-Parametros!$B$13)</f>
        <v/>
      </c>
      <c r="K10" s="16">
        <f>((1+Parametros!$B$4)*H10*(1+I10)+Parametros!$B$12+IF(J10&gt;=Parametros!$B$8,0,IF(J10&gt;=Parametros!$B$7,Parametros!$B$11,IF(J10&gt;=Parametros!$B$6,Parametros!$B$10,Parametros!$B$9))))/(1-Parametros!$B$5-Parametros!$B$13)</f>
        <v/>
      </c>
      <c r="L10" s="26" t="n">
        <v>37900</v>
      </c>
      <c r="M10" s="16">
        <f>L10*Parametros!$B$5+IF(L10&gt;=Parametros!$B$8,0,IF(L10&gt;=Parametros!$B$7,Parametros!$B$11,IF(L10&gt;=Parametros!$B$6,Parametros!$B$10,Parametros!$B$9)))</f>
        <v/>
      </c>
      <c r="N10" s="16" t="n">
        <v>0</v>
      </c>
      <c r="O10" s="16">
        <f>L10*Parametros!$B$13</f>
        <v/>
      </c>
      <c r="P10" s="16">
        <f>L10-M10-N10-O10</f>
        <v/>
      </c>
      <c r="Q10" s="16">
        <f>P10/(1+Parametros!$B$4)</f>
        <v/>
      </c>
      <c r="R10" s="16">
        <f>Q10-H10</f>
        <v/>
      </c>
      <c r="S10" s="19">
        <f>IF(H10=0,0,R10/H10)</f>
        <v/>
      </c>
      <c r="T10" s="20">
        <f>IF(L10&lt;Parametros!$B$8,"PAGA COSTO FIJO",IF(S10&gt;=I10,"OK","AJUSTAR"))</f>
        <v/>
      </c>
      <c r="U10" s="16">
        <f>L10/(1+Parametros!$B$4)/G10</f>
        <v/>
      </c>
      <c r="V10" s="19">
        <f>IF(E10=0,0,U10/E10-1)</f>
        <v/>
      </c>
      <c r="W10" s="27" t="inlineStr">
        <is>
          <t>Formato chico (envío a cargo del comprador)</t>
        </is>
      </c>
    </row>
    <row r="11">
      <c r="A11" s="12" t="n">
        <v>924</v>
      </c>
      <c r="B11" s="12" t="inlineStr">
        <is>
          <t>EP1011</t>
        </is>
      </c>
      <c r="C11" s="12" t="inlineStr">
        <is>
          <t>Film Stretch Manual Negro Con Mango 50 Cm 2.8 Kg</t>
        </is>
      </c>
      <c r="D11" s="13" t="n">
        <v>3007</v>
      </c>
      <c r="E11" s="13" t="n">
        <v>4791</v>
      </c>
      <c r="F11" s="14" t="n">
        <v>0</v>
      </c>
      <c r="G11" s="15" t="n">
        <v>11.2</v>
      </c>
      <c r="H11" s="16">
        <f>D11*G11</f>
        <v/>
      </c>
      <c r="I11" s="17">
        <f>Parametros!$B$14</f>
        <v/>
      </c>
      <c r="J11" s="16">
        <f>((1+Parametros!$B$4)*H11*(1+I11)+Parametros!$B$12)/(1-Parametros!$B$5-Parametros!$B$13)</f>
        <v/>
      </c>
      <c r="K11" s="16">
        <f>((1+Parametros!$B$4)*H11*(1+I11)+Parametros!$B$12+IF(J11&gt;=Parametros!$B$8,0,IF(J11&gt;=Parametros!$B$7,Parametros!$B$11,IF(J11&gt;=Parametros!$B$6,Parametros!$B$10,Parametros!$B$9))))/(1-Parametros!$B$5-Parametros!$B$13)</f>
        <v/>
      </c>
      <c r="L11" s="26" t="n">
        <v>17900</v>
      </c>
      <c r="M11" s="16">
        <f>L11*Parametros!$B$5+IF(L11&gt;=Parametros!$B$8,0,IF(L11&gt;=Parametros!$B$7,Parametros!$B$11,IF(L11&gt;=Parametros!$B$6,Parametros!$B$10,Parametros!$B$9)))</f>
        <v/>
      </c>
      <c r="N11" s="16" t="n">
        <v>0</v>
      </c>
      <c r="O11" s="16">
        <f>L11*Parametros!$B$13</f>
        <v/>
      </c>
      <c r="P11" s="16">
        <f>L11-M11-N11-O11</f>
        <v/>
      </c>
      <c r="Q11" s="16">
        <f>P11/(1+Parametros!$B$4)</f>
        <v/>
      </c>
      <c r="R11" s="16">
        <f>Q11-H11</f>
        <v/>
      </c>
      <c r="S11" s="19">
        <f>IF(H11=0,0,R11/H11)</f>
        <v/>
      </c>
      <c r="T11" s="20">
        <f>IF(L11&lt;Parametros!$B$8,"PAGA COSTO FIJO",IF(S11&gt;=I11,"OK","AJUSTAR"))</f>
        <v/>
      </c>
      <c r="U11" s="16">
        <f>L11/(1+Parametros!$B$4)/G11</f>
        <v/>
      </c>
      <c r="V11" s="19">
        <f>IF(E11=0,0,U11/E11-1)</f>
        <v/>
      </c>
      <c r="W11" s="27" t="inlineStr">
        <is>
          <t>Formato chico (envío a cargo del comprador)</t>
        </is>
      </c>
    </row>
    <row r="12">
      <c r="A12" s="12" t="n">
        <v>925</v>
      </c>
      <c r="B12" s="12" t="inlineStr">
        <is>
          <t>EP1013</t>
        </is>
      </c>
      <c r="C12" s="12" t="inlineStr">
        <is>
          <t>Film Stretch Manual Negro Con Mango 50 Cm 4 Kg</t>
        </is>
      </c>
      <c r="D12" s="13" t="n">
        <v>3260</v>
      </c>
      <c r="E12" s="13" t="n">
        <v>5199</v>
      </c>
      <c r="F12" s="14" t="n">
        <v>0</v>
      </c>
      <c r="G12" s="15" t="n">
        <v>16</v>
      </c>
      <c r="H12" s="16">
        <f>D12*G12</f>
        <v/>
      </c>
      <c r="I12" s="17">
        <f>Parametros!$B$14</f>
        <v/>
      </c>
      <c r="J12" s="16">
        <f>((1+Parametros!$B$4)*H12*(1+I12)+Parametros!$B$12)/(1-Parametros!$B$5-Parametros!$B$13)</f>
        <v/>
      </c>
      <c r="K12" s="16">
        <f>((1+Parametros!$B$4)*H12*(1+I12)+Parametros!$B$12+IF(J12&gt;=Parametros!$B$8,0,IF(J12&gt;=Parametros!$B$7,Parametros!$B$11,IF(J12&gt;=Parametros!$B$6,Parametros!$B$10,Parametros!$B$9))))/(1-Parametros!$B$5-Parametros!$B$13)</f>
        <v/>
      </c>
      <c r="L12" s="26" t="n">
        <v>25900</v>
      </c>
      <c r="M12" s="16">
        <f>L12*Parametros!$B$5+IF(L12&gt;=Parametros!$B$8,0,IF(L12&gt;=Parametros!$B$7,Parametros!$B$11,IF(L12&gt;=Parametros!$B$6,Parametros!$B$10,Parametros!$B$9)))</f>
        <v/>
      </c>
      <c r="N12" s="16" t="n">
        <v>0</v>
      </c>
      <c r="O12" s="16">
        <f>L12*Parametros!$B$13</f>
        <v/>
      </c>
      <c r="P12" s="16">
        <f>L12-M12-N12-O12</f>
        <v/>
      </c>
      <c r="Q12" s="16">
        <f>P12/(1+Parametros!$B$4)</f>
        <v/>
      </c>
      <c r="R12" s="16">
        <f>Q12-H12</f>
        <v/>
      </c>
      <c r="S12" s="19">
        <f>IF(H12=0,0,R12/H12)</f>
        <v/>
      </c>
      <c r="T12" s="20">
        <f>IF(L12&lt;Parametros!$B$8,"PAGA COSTO FIJO",IF(S12&gt;=I12,"OK","AJUSTAR"))</f>
        <v/>
      </c>
      <c r="U12" s="16">
        <f>L12/(1+Parametros!$B$4)/G12</f>
        <v/>
      </c>
      <c r="V12" s="19">
        <f>IF(E12=0,0,U12/E12-1)</f>
        <v/>
      </c>
      <c r="W12" s="27" t="inlineStr">
        <is>
          <t>Formato chico (envío a cargo del comprador)</t>
        </is>
      </c>
    </row>
    <row r="13">
      <c r="A13" s="12" t="n">
        <v>981</v>
      </c>
      <c r="B13" s="12" t="inlineStr">
        <is>
          <t>EP1076</t>
        </is>
      </c>
      <c r="C13" s="12" t="inlineStr">
        <is>
          <t>Film Stretch Manual Negro Sin Mango 50 Cm 3.5 Kg</t>
        </is>
      </c>
      <c r="D13" s="13" t="n">
        <v>2009</v>
      </c>
      <c r="E13" s="13" t="n">
        <v>3189</v>
      </c>
      <c r="F13" s="14" t="n">
        <v>0</v>
      </c>
      <c r="G13" s="15" t="n">
        <v>14</v>
      </c>
      <c r="H13" s="16">
        <f>D13*G13</f>
        <v/>
      </c>
      <c r="I13" s="17">
        <f>Parametros!$B$14</f>
        <v/>
      </c>
      <c r="J13" s="16">
        <f>((1+Parametros!$B$4)*H13*(1+I13)+Parametros!$B$12)/(1-Parametros!$B$5-Parametros!$B$13)</f>
        <v/>
      </c>
      <c r="K13" s="16">
        <f>((1+Parametros!$B$4)*H13*(1+I13)+Parametros!$B$12+IF(J13&gt;=Parametros!$B$8,0,IF(J13&gt;=Parametros!$B$7,Parametros!$B$11,IF(J13&gt;=Parametros!$B$6,Parametros!$B$10,Parametros!$B$9))))/(1-Parametros!$B$5-Parametros!$B$13)</f>
        <v/>
      </c>
      <c r="L13" s="28" t="n">
        <v>85000</v>
      </c>
      <c r="M13" s="16">
        <f>L13*Parametros!$B$5+IF(L13&gt;=Parametros!$B$8,0,IF(L13&gt;=Parametros!$B$7,Parametros!$B$11,IF(L13&gt;=Parametros!$B$6,Parametros!$B$10,Parametros!$B$9)))</f>
        <v/>
      </c>
      <c r="N13" s="16" t="n">
        <v>29860</v>
      </c>
      <c r="O13" s="16">
        <f>L13*Parametros!$B$13</f>
        <v/>
      </c>
      <c r="P13" s="16">
        <f>L13-M13-N13-O13</f>
        <v/>
      </c>
      <c r="Q13" s="16">
        <f>P13/(1+Parametros!$B$4)</f>
        <v/>
      </c>
      <c r="R13" s="16">
        <f>Q13-H13</f>
        <v/>
      </c>
      <c r="S13" s="19">
        <f>IF(H13=0,0,R13/H13)</f>
        <v/>
      </c>
      <c r="T13" s="20">
        <f>IF(L13&lt;Parametros!$B$8,"PAGA COSTO FIJO",IF(S13&gt;=I13,"OK","AJUSTAR"))</f>
        <v/>
      </c>
      <c r="U13" s="16">
        <f>L13/(1+Parametros!$B$4)/G13</f>
        <v/>
      </c>
      <c r="V13" s="19">
        <f>IF(E13=0,0,U13/E13-1)</f>
        <v/>
      </c>
      <c r="W13" s="27" t="inlineStr">
        <is>
          <t>BANDERA (envío gratis)</t>
        </is>
      </c>
    </row>
    <row r="14">
      <c r="A14" s="12" t="n">
        <v>968</v>
      </c>
      <c r="B14" s="12" t="inlineStr">
        <is>
          <t>EP1055</t>
        </is>
      </c>
      <c r="C14" s="12" t="inlineStr">
        <is>
          <t>Film Stretch Manual Negro Sin Mango 50 Cm 4.5 Kg</t>
        </is>
      </c>
      <c r="D14" s="13" t="n">
        <v>2346</v>
      </c>
      <c r="E14" s="13" t="n">
        <v>3751</v>
      </c>
      <c r="F14" s="14" t="n">
        <v>0</v>
      </c>
      <c r="G14" s="15" t="n">
        <v>18</v>
      </c>
      <c r="H14" s="16">
        <f>D14*G14</f>
        <v/>
      </c>
      <c r="I14" s="17">
        <f>Parametros!$B$14</f>
        <v/>
      </c>
      <c r="J14" s="16">
        <f>((1+Parametros!$B$4)*H14*(1+I14)+Parametros!$B$12)/(1-Parametros!$B$5-Parametros!$B$13)</f>
        <v/>
      </c>
      <c r="K14" s="16">
        <f>((1+Parametros!$B$4)*H14*(1+I14)+Parametros!$B$12+IF(J14&gt;=Parametros!$B$8,0,IF(J14&gt;=Parametros!$B$7,Parametros!$B$11,IF(J14&gt;=Parametros!$B$6,Parametros!$B$10,Parametros!$B$9))))/(1-Parametros!$B$5-Parametros!$B$13)</f>
        <v/>
      </c>
      <c r="L14" s="26" t="n">
        <v>26900</v>
      </c>
      <c r="M14" s="16">
        <f>L14*Parametros!$B$5+IF(L14&gt;=Parametros!$B$8,0,IF(L14&gt;=Parametros!$B$7,Parametros!$B$11,IF(L14&gt;=Parametros!$B$6,Parametros!$B$10,Parametros!$B$9)))</f>
        <v/>
      </c>
      <c r="N14" s="16" t="n">
        <v>0</v>
      </c>
      <c r="O14" s="16">
        <f>L14*Parametros!$B$13</f>
        <v/>
      </c>
      <c r="P14" s="16">
        <f>L14-M14-N14-O14</f>
        <v/>
      </c>
      <c r="Q14" s="16">
        <f>P14/(1+Parametros!$B$4)</f>
        <v/>
      </c>
      <c r="R14" s="16">
        <f>Q14-H14</f>
        <v/>
      </c>
      <c r="S14" s="19">
        <f>IF(H14=0,0,R14/H14)</f>
        <v/>
      </c>
      <c r="T14" s="20">
        <f>IF(L14&lt;Parametros!$B$8,"PAGA COSTO FIJO",IF(S14&gt;=I14,"OK","AJUSTAR"))</f>
        <v/>
      </c>
      <c r="U14" s="16">
        <f>L14/(1+Parametros!$B$4)/G14</f>
        <v/>
      </c>
      <c r="V14" s="19">
        <f>IF(E14=0,0,U14/E14-1)</f>
        <v/>
      </c>
      <c r="W14" s="27" t="inlineStr">
        <is>
          <t>Formato chico (envío a cargo del comprador)</t>
        </is>
      </c>
    </row>
    <row r="15">
      <c r="A15" s="12" t="n">
        <v>926</v>
      </c>
      <c r="B15" s="12" t="inlineStr">
        <is>
          <t>EP1058</t>
        </is>
      </c>
      <c r="C15" s="12" t="inlineStr">
        <is>
          <t>Film Stretch Manual Negro Sin Mango 50 Cm 5 Kg</t>
        </is>
      </c>
      <c r="D15" s="13" t="n">
        <v>2670</v>
      </c>
      <c r="E15" s="13" t="n">
        <v>4243</v>
      </c>
      <c r="F15" s="14" t="n">
        <v>0</v>
      </c>
      <c r="G15" s="15" t="n">
        <v>20</v>
      </c>
      <c r="H15" s="16">
        <f>D15*G15</f>
        <v/>
      </c>
      <c r="I15" s="17">
        <f>Parametros!$B$14</f>
        <v/>
      </c>
      <c r="J15" s="16">
        <f>((1+Parametros!$B$4)*H15*(1+I15)+Parametros!$B$12)/(1-Parametros!$B$5-Parametros!$B$13)</f>
        <v/>
      </c>
      <c r="K15" s="16">
        <f>((1+Parametros!$B$4)*H15*(1+I15)+Parametros!$B$12+IF(J15&gt;=Parametros!$B$8,0,IF(J15&gt;=Parametros!$B$7,Parametros!$B$11,IF(J15&gt;=Parametros!$B$6,Parametros!$B$10,Parametros!$B$9))))/(1-Parametros!$B$5-Parametros!$B$13)</f>
        <v/>
      </c>
      <c r="L15" s="26" t="n">
        <v>29900</v>
      </c>
      <c r="M15" s="16">
        <f>L15*Parametros!$B$5+IF(L15&gt;=Parametros!$B$8,0,IF(L15&gt;=Parametros!$B$7,Parametros!$B$11,IF(L15&gt;=Parametros!$B$6,Parametros!$B$10,Parametros!$B$9)))</f>
        <v/>
      </c>
      <c r="N15" s="16" t="n">
        <v>0</v>
      </c>
      <c r="O15" s="16">
        <f>L15*Parametros!$B$13</f>
        <v/>
      </c>
      <c r="P15" s="16">
        <f>L15-M15-N15-O15</f>
        <v/>
      </c>
      <c r="Q15" s="16">
        <f>P15/(1+Parametros!$B$4)</f>
        <v/>
      </c>
      <c r="R15" s="16">
        <f>Q15-H15</f>
        <v/>
      </c>
      <c r="S15" s="19">
        <f>IF(H15=0,0,R15/H15)</f>
        <v/>
      </c>
      <c r="T15" s="20">
        <f>IF(L15&lt;Parametros!$B$8,"PAGA COSTO FIJO",IF(S15&gt;=I15,"OK","AJUSTAR"))</f>
        <v/>
      </c>
      <c r="U15" s="16">
        <f>L15/(1+Parametros!$B$4)/G15</f>
        <v/>
      </c>
      <c r="V15" s="19">
        <f>IF(E15=0,0,U15/E15-1)</f>
        <v/>
      </c>
      <c r="W15" s="27" t="inlineStr">
        <is>
          <t>Formato chico (envío a cargo del comprador)</t>
        </is>
      </c>
    </row>
    <row r="16">
      <c r="A16" s="12" t="n">
        <v>927</v>
      </c>
      <c r="B16" s="12" t="inlineStr">
        <is>
          <t>EP1008</t>
        </is>
      </c>
      <c r="C16" s="12" t="inlineStr">
        <is>
          <t>Film Stretch Manual Transparente 10 Cm 0.5 Kg x Unidad</t>
        </is>
      </c>
      <c r="D16" s="13" t="n">
        <v>1574</v>
      </c>
      <c r="E16" s="13" t="n">
        <v>2993</v>
      </c>
      <c r="F16" s="14" t="n">
        <v>0</v>
      </c>
      <c r="G16" s="15" t="n">
        <v>25</v>
      </c>
      <c r="H16" s="16">
        <f>D16*G16</f>
        <v/>
      </c>
      <c r="I16" s="17">
        <f>Parametros!$B$14</f>
        <v/>
      </c>
      <c r="J16" s="16">
        <f>((1+Parametros!$B$4)*H16*(1+I16)+Parametros!$B$12)/(1-Parametros!$B$5-Parametros!$B$13)</f>
        <v/>
      </c>
      <c r="K16" s="16">
        <f>((1+Parametros!$B$4)*H16*(1+I16)+Parametros!$B$12+IF(J16&gt;=Parametros!$B$8,0,IF(J16&gt;=Parametros!$B$7,Parametros!$B$11,IF(J16&gt;=Parametros!$B$6,Parametros!$B$10,Parametros!$B$9))))/(1-Parametros!$B$5-Parametros!$B$13)</f>
        <v/>
      </c>
      <c r="L16" s="26" t="n">
        <v>36900</v>
      </c>
      <c r="M16" s="16">
        <f>L16*Parametros!$B$5+IF(L16&gt;=Parametros!$B$8,0,IF(L16&gt;=Parametros!$B$7,Parametros!$B$11,IF(L16&gt;=Parametros!$B$6,Parametros!$B$10,Parametros!$B$9)))</f>
        <v/>
      </c>
      <c r="N16" s="16" t="n">
        <v>0</v>
      </c>
      <c r="O16" s="16">
        <f>L16*Parametros!$B$13</f>
        <v/>
      </c>
      <c r="P16" s="16">
        <f>L16-M16-N16-O16</f>
        <v/>
      </c>
      <c r="Q16" s="16">
        <f>P16/(1+Parametros!$B$4)</f>
        <v/>
      </c>
      <c r="R16" s="16">
        <f>Q16-H16</f>
        <v/>
      </c>
      <c r="S16" s="19">
        <f>IF(H16=0,0,R16/H16)</f>
        <v/>
      </c>
      <c r="T16" s="20">
        <f>IF(L16&lt;Parametros!$B$8,"PAGA COSTO FIJO",IF(S16&gt;=I16,"OK","AJUSTAR"))</f>
        <v/>
      </c>
      <c r="U16" s="16">
        <f>L16/(1+Parametros!$B$4)/G16</f>
        <v/>
      </c>
      <c r="V16" s="19">
        <f>IF(E16=0,0,U16/E16-1)</f>
        <v/>
      </c>
      <c r="W16" s="27" t="inlineStr">
        <is>
          <t>Formato chico (envío a cargo del comprador)</t>
        </is>
      </c>
    </row>
    <row r="17">
      <c r="A17" s="12" t="n">
        <v>928</v>
      </c>
      <c r="B17" s="12" t="inlineStr">
        <is>
          <t>EP1003</t>
        </is>
      </c>
      <c r="C17" s="12" t="inlineStr">
        <is>
          <t>Film Stretch Manual Transparente Con Mango 50 Cm 2.8 Kg</t>
        </is>
      </c>
      <c r="D17" s="13" t="n">
        <v>2782</v>
      </c>
      <c r="E17" s="13" t="n">
        <v>4440</v>
      </c>
      <c r="F17" s="14" t="n">
        <v>0</v>
      </c>
      <c r="G17" s="15" t="n">
        <v>11.2</v>
      </c>
      <c r="H17" s="16">
        <f>D17*G17</f>
        <v/>
      </c>
      <c r="I17" s="17">
        <f>Parametros!$B$14</f>
        <v/>
      </c>
      <c r="J17" s="16">
        <f>((1+Parametros!$B$4)*H17*(1+I17)+Parametros!$B$12)/(1-Parametros!$B$5-Parametros!$B$13)</f>
        <v/>
      </c>
      <c r="K17" s="16">
        <f>((1+Parametros!$B$4)*H17*(1+I17)+Parametros!$B$12+IF(J17&gt;=Parametros!$B$8,0,IF(J17&gt;=Parametros!$B$7,Parametros!$B$11,IF(J17&gt;=Parametros!$B$6,Parametros!$B$10,Parametros!$B$9))))/(1-Parametros!$B$5-Parametros!$B$13)</f>
        <v/>
      </c>
      <c r="L17" s="26" t="n">
        <v>17500</v>
      </c>
      <c r="M17" s="16">
        <f>L17*Parametros!$B$5+IF(L17&gt;=Parametros!$B$8,0,IF(L17&gt;=Parametros!$B$7,Parametros!$B$11,IF(L17&gt;=Parametros!$B$6,Parametros!$B$10,Parametros!$B$9)))</f>
        <v/>
      </c>
      <c r="N17" s="16" t="n">
        <v>0</v>
      </c>
      <c r="O17" s="16">
        <f>L17*Parametros!$B$13</f>
        <v/>
      </c>
      <c r="P17" s="16">
        <f>L17-M17-N17-O17</f>
        <v/>
      </c>
      <c r="Q17" s="16">
        <f>P17/(1+Parametros!$B$4)</f>
        <v/>
      </c>
      <c r="R17" s="16">
        <f>Q17-H17</f>
        <v/>
      </c>
      <c r="S17" s="19">
        <f>IF(H17=0,0,R17/H17)</f>
        <v/>
      </c>
      <c r="T17" s="20">
        <f>IF(L17&lt;Parametros!$B$8,"PAGA COSTO FIJO",IF(S17&gt;=I17,"OK","AJUSTAR"))</f>
        <v/>
      </c>
      <c r="U17" s="16">
        <f>L17/(1+Parametros!$B$4)/G17</f>
        <v/>
      </c>
      <c r="V17" s="19">
        <f>IF(E17=0,0,U17/E17-1)</f>
        <v/>
      </c>
      <c r="W17" s="27" t="inlineStr">
        <is>
          <t>Formato chico (envío a cargo del comprador)</t>
        </is>
      </c>
    </row>
    <row r="18">
      <c r="A18" s="12" t="n">
        <v>879</v>
      </c>
      <c r="B18" s="12" t="inlineStr">
        <is>
          <t>EP1005</t>
        </is>
      </c>
      <c r="C18" s="12" t="inlineStr">
        <is>
          <t>Film Stretch Manual Transparente Con Mango 50 Cm 4 Kg</t>
        </is>
      </c>
      <c r="D18" s="13" t="n">
        <v>3021</v>
      </c>
      <c r="E18" s="13" t="n">
        <v>4819</v>
      </c>
      <c r="F18" s="14" t="n">
        <v>0</v>
      </c>
      <c r="G18" s="15" t="n">
        <v>16</v>
      </c>
      <c r="H18" s="16">
        <f>D18*G18</f>
        <v/>
      </c>
      <c r="I18" s="17">
        <f>Parametros!$B$14</f>
        <v/>
      </c>
      <c r="J18" s="16">
        <f>((1+Parametros!$B$4)*H18*(1+I18)+Parametros!$B$12)/(1-Parametros!$B$5-Parametros!$B$13)</f>
        <v/>
      </c>
      <c r="K18" s="16">
        <f>((1+Parametros!$B$4)*H18*(1+I18)+Parametros!$B$12+IF(J18&gt;=Parametros!$B$8,0,IF(J18&gt;=Parametros!$B$7,Parametros!$B$11,IF(J18&gt;=Parametros!$B$6,Parametros!$B$10,Parametros!$B$9))))/(1-Parametros!$B$5-Parametros!$B$13)</f>
        <v/>
      </c>
      <c r="L18" s="26" t="n">
        <v>24900</v>
      </c>
      <c r="M18" s="16">
        <f>L18*Parametros!$B$5+IF(L18&gt;=Parametros!$B$8,0,IF(L18&gt;=Parametros!$B$7,Parametros!$B$11,IF(L18&gt;=Parametros!$B$6,Parametros!$B$10,Parametros!$B$9)))</f>
        <v/>
      </c>
      <c r="N18" s="16" t="n">
        <v>0</v>
      </c>
      <c r="O18" s="16">
        <f>L18*Parametros!$B$13</f>
        <v/>
      </c>
      <c r="P18" s="16">
        <f>L18-M18-N18-O18</f>
        <v/>
      </c>
      <c r="Q18" s="16">
        <f>P18/(1+Parametros!$B$4)</f>
        <v/>
      </c>
      <c r="R18" s="16">
        <f>Q18-H18</f>
        <v/>
      </c>
      <c r="S18" s="19">
        <f>IF(H18=0,0,R18/H18)</f>
        <v/>
      </c>
      <c r="T18" s="20">
        <f>IF(L18&lt;Parametros!$B$8,"PAGA COSTO FIJO",IF(S18&gt;=I18,"OK","AJUSTAR"))</f>
        <v/>
      </c>
      <c r="U18" s="16">
        <f>L18/(1+Parametros!$B$4)/G18</f>
        <v/>
      </c>
      <c r="V18" s="19">
        <f>IF(E18=0,0,U18/E18-1)</f>
        <v/>
      </c>
      <c r="W18" s="27" t="inlineStr">
        <is>
          <t>Formato chico (envío a cargo del comprador)</t>
        </is>
      </c>
    </row>
    <row r="19">
      <c r="A19" s="12" t="n">
        <v>930</v>
      </c>
      <c r="B19" s="12" t="inlineStr">
        <is>
          <t>EP1071</t>
        </is>
      </c>
      <c r="C19" s="12" t="inlineStr">
        <is>
          <t>Film Stretch Manual Transparente Sin Mango 50 Cm 4 Kg</t>
        </is>
      </c>
      <c r="D19" s="13" t="n">
        <v>2206</v>
      </c>
      <c r="E19" s="13" t="n">
        <v>3513</v>
      </c>
      <c r="F19" s="14" t="n">
        <v>0</v>
      </c>
      <c r="G19" s="15" t="n">
        <v>16</v>
      </c>
      <c r="H19" s="16">
        <f>D19*G19</f>
        <v/>
      </c>
      <c r="I19" s="17">
        <f>Parametros!$B$14</f>
        <v/>
      </c>
      <c r="J19" s="16">
        <f>((1+Parametros!$B$4)*H19*(1+I19)+Parametros!$B$12)/(1-Parametros!$B$5-Parametros!$B$13)</f>
        <v/>
      </c>
      <c r="K19" s="16">
        <f>((1+Parametros!$B$4)*H19*(1+I19)+Parametros!$B$12+IF(J19&gt;=Parametros!$B$8,0,IF(J19&gt;=Parametros!$B$7,Parametros!$B$11,IF(J19&gt;=Parametros!$B$6,Parametros!$B$10,Parametros!$B$9))))/(1-Parametros!$B$5-Parametros!$B$13)</f>
        <v/>
      </c>
      <c r="L19" s="26" t="n">
        <v>21900</v>
      </c>
      <c r="M19" s="16">
        <f>L19*Parametros!$B$5+IF(L19&gt;=Parametros!$B$8,0,IF(L19&gt;=Parametros!$B$7,Parametros!$B$11,IF(L19&gt;=Parametros!$B$6,Parametros!$B$10,Parametros!$B$9)))</f>
        <v/>
      </c>
      <c r="N19" s="16" t="n">
        <v>0</v>
      </c>
      <c r="O19" s="16">
        <f>L19*Parametros!$B$13</f>
        <v/>
      </c>
      <c r="P19" s="16">
        <f>L19-M19-N19-O19</f>
        <v/>
      </c>
      <c r="Q19" s="16">
        <f>P19/(1+Parametros!$B$4)</f>
        <v/>
      </c>
      <c r="R19" s="16">
        <f>Q19-H19</f>
        <v/>
      </c>
      <c r="S19" s="19">
        <f>IF(H19=0,0,R19/H19)</f>
        <v/>
      </c>
      <c r="T19" s="20">
        <f>IF(L19&lt;Parametros!$B$8,"PAGA COSTO FIJO",IF(S19&gt;=I19,"OK","AJUSTAR"))</f>
        <v/>
      </c>
      <c r="U19" s="16">
        <f>L19/(1+Parametros!$B$4)/G19</f>
        <v/>
      </c>
      <c r="V19" s="19">
        <f>IF(E19=0,0,U19/E19-1)</f>
        <v/>
      </c>
      <c r="W19" s="27" t="inlineStr">
        <is>
          <t>Formato chico (envío a cargo del comprador)</t>
        </is>
      </c>
    </row>
    <row r="20">
      <c r="A20" s="12" t="n">
        <v>931</v>
      </c>
      <c r="B20" s="12" t="inlineStr">
        <is>
          <t>EP1055</t>
        </is>
      </c>
      <c r="C20" s="12" t="inlineStr">
        <is>
          <t>Film Stretch Manual Transparente Sin Mango 50 Cm 4.5 Kg</t>
        </is>
      </c>
      <c r="D20" s="13" t="n">
        <v>2346</v>
      </c>
      <c r="E20" s="13" t="n">
        <v>3751</v>
      </c>
      <c r="F20" s="14" t="n">
        <v>378</v>
      </c>
      <c r="G20" s="15" t="n">
        <v>18</v>
      </c>
      <c r="H20" s="16">
        <f>D20*G20</f>
        <v/>
      </c>
      <c r="I20" s="17">
        <f>Parametros!$B$14</f>
        <v/>
      </c>
      <c r="J20" s="16">
        <f>((1+Parametros!$B$4)*H20*(1+I20)+Parametros!$B$12)/(1-Parametros!$B$5-Parametros!$B$13)</f>
        <v/>
      </c>
      <c r="K20" s="16">
        <f>((1+Parametros!$B$4)*H20*(1+I20)+Parametros!$B$12+IF(J20&gt;=Parametros!$B$8,0,IF(J20&gt;=Parametros!$B$7,Parametros!$B$11,IF(J20&gt;=Parametros!$B$6,Parametros!$B$10,Parametros!$B$9))))/(1-Parametros!$B$5-Parametros!$B$13)</f>
        <v/>
      </c>
      <c r="L20" s="26" t="n">
        <v>24900</v>
      </c>
      <c r="M20" s="16">
        <f>L20*Parametros!$B$5+IF(L20&gt;=Parametros!$B$8,0,IF(L20&gt;=Parametros!$B$7,Parametros!$B$11,IF(L20&gt;=Parametros!$B$6,Parametros!$B$10,Parametros!$B$9)))</f>
        <v/>
      </c>
      <c r="N20" s="16" t="n">
        <v>0</v>
      </c>
      <c r="O20" s="16">
        <f>L20*Parametros!$B$13</f>
        <v/>
      </c>
      <c r="P20" s="16">
        <f>L20-M20-N20-O20</f>
        <v/>
      </c>
      <c r="Q20" s="16">
        <f>P20/(1+Parametros!$B$4)</f>
        <v/>
      </c>
      <c r="R20" s="16">
        <f>Q20-H20</f>
        <v/>
      </c>
      <c r="S20" s="19">
        <f>IF(H20=0,0,R20/H20)</f>
        <v/>
      </c>
      <c r="T20" s="20">
        <f>IF(L20&lt;Parametros!$B$8,"PAGA COSTO FIJO",IF(S20&gt;=I20,"OK","AJUSTAR"))</f>
        <v/>
      </c>
      <c r="U20" s="16">
        <f>L20/(1+Parametros!$B$4)/G20</f>
        <v/>
      </c>
      <c r="V20" s="19">
        <f>IF(E20=0,0,U20/E20-1)</f>
        <v/>
      </c>
      <c r="W20" s="27" t="inlineStr">
        <is>
          <t>Formato chico (envío a cargo del comprador)</t>
        </is>
      </c>
    </row>
    <row r="21">
      <c r="A21" s="12" t="n">
        <v>878</v>
      </c>
      <c r="B21" s="12" t="inlineStr">
        <is>
          <t>EP1006</t>
        </is>
      </c>
      <c r="C21" s="12" t="inlineStr">
        <is>
          <t>Film Stretch Manual Transparente Sin Mango 50 Cm 5 Kg</t>
        </is>
      </c>
      <c r="D21" s="13" t="n">
        <v>2473</v>
      </c>
      <c r="E21" s="13" t="n">
        <v>3948</v>
      </c>
      <c r="F21" s="14" t="n">
        <v>0</v>
      </c>
      <c r="G21" s="15" t="n">
        <v>20</v>
      </c>
      <c r="H21" s="16">
        <f>D21*G21</f>
        <v/>
      </c>
      <c r="I21" s="17">
        <f>Parametros!$B$14</f>
        <v/>
      </c>
      <c r="J21" s="16">
        <f>((1+Parametros!$B$4)*H21*(1+I21)+Parametros!$B$12)/(1-Parametros!$B$5-Parametros!$B$13)</f>
        <v/>
      </c>
      <c r="K21" s="16">
        <f>((1+Parametros!$B$4)*H21*(1+I21)+Parametros!$B$12+IF(J21&gt;=Parametros!$B$8,0,IF(J21&gt;=Parametros!$B$7,Parametros!$B$11,IF(J21&gt;=Parametros!$B$6,Parametros!$B$10,Parametros!$B$9))))/(1-Parametros!$B$5-Parametros!$B$13)</f>
        <v/>
      </c>
      <c r="L21" s="26" t="n">
        <v>26900</v>
      </c>
      <c r="M21" s="16">
        <f>L21*Parametros!$B$5+IF(L21&gt;=Parametros!$B$8,0,IF(L21&gt;=Parametros!$B$7,Parametros!$B$11,IF(L21&gt;=Parametros!$B$6,Parametros!$B$10,Parametros!$B$9)))</f>
        <v/>
      </c>
      <c r="N21" s="16" t="n">
        <v>0</v>
      </c>
      <c r="O21" s="16">
        <f>L21*Parametros!$B$13</f>
        <v/>
      </c>
      <c r="P21" s="16">
        <f>L21-M21-N21-O21</f>
        <v/>
      </c>
      <c r="Q21" s="16">
        <f>P21/(1+Parametros!$B$4)</f>
        <v/>
      </c>
      <c r="R21" s="16">
        <f>Q21-H21</f>
        <v/>
      </c>
      <c r="S21" s="19">
        <f>IF(H21=0,0,R21/H21)</f>
        <v/>
      </c>
      <c r="T21" s="20">
        <f>IF(L21&lt;Parametros!$B$8,"PAGA COSTO FIJO",IF(S21&gt;=I21,"OK","AJUSTAR"))</f>
        <v/>
      </c>
      <c r="U21" s="16">
        <f>L21/(1+Parametros!$B$4)/G21</f>
        <v/>
      </c>
      <c r="V21" s="19">
        <f>IF(E21=0,0,U21/E21-1)</f>
        <v/>
      </c>
      <c r="W21" s="27" t="inlineStr">
        <is>
          <t>Formato chico (envío a cargo del comprador)</t>
        </is>
      </c>
    </row>
    <row r="22">
      <c r="A22" s="12" t="n">
        <v>929</v>
      </c>
      <c r="B22" s="12" t="inlineStr">
        <is>
          <t>EP1076</t>
        </is>
      </c>
      <c r="C22" s="12" t="inlineStr">
        <is>
          <t>Film Stretch Manual Transparente Sin Mango 50 Cm 3.5 Kg</t>
        </is>
      </c>
      <c r="D22" s="13" t="n">
        <v>2009</v>
      </c>
      <c r="E22" s="13" t="n">
        <v>3189</v>
      </c>
      <c r="F22" s="14" t="n">
        <v>0</v>
      </c>
      <c r="G22" s="15" t="n">
        <v>14</v>
      </c>
      <c r="H22" s="16">
        <f>D22*G22</f>
        <v/>
      </c>
      <c r="I22" s="17">
        <f>Parametros!$B$14</f>
        <v/>
      </c>
      <c r="J22" s="16">
        <f>((1+Parametros!$B$4)*H22*(1+I22)+Parametros!$B$12)/(1-Parametros!$B$5-Parametros!$B$13)</f>
        <v/>
      </c>
      <c r="K22" s="16">
        <f>((1+Parametros!$B$4)*H22*(1+I22)+Parametros!$B$12+IF(J22&gt;=Parametros!$B$8,0,IF(J22&gt;=Parametros!$B$7,Parametros!$B$11,IF(J22&gt;=Parametros!$B$6,Parametros!$B$10,Parametros!$B$9))))/(1-Parametros!$B$5-Parametros!$B$13)</f>
        <v/>
      </c>
      <c r="L22" s="28" t="n">
        <v>81000</v>
      </c>
      <c r="M22" s="16">
        <f>L22*Parametros!$B$5+IF(L22&gt;=Parametros!$B$8,0,IF(L22&gt;=Parametros!$B$7,Parametros!$B$11,IF(L22&gt;=Parametros!$B$6,Parametros!$B$10,Parametros!$B$9)))</f>
        <v/>
      </c>
      <c r="N22" s="16" t="n">
        <v>29860</v>
      </c>
      <c r="O22" s="16">
        <f>L22*Parametros!$B$13</f>
        <v/>
      </c>
      <c r="P22" s="16">
        <f>L22-M22-N22-O22</f>
        <v/>
      </c>
      <c r="Q22" s="16">
        <f>P22/(1+Parametros!$B$4)</f>
        <v/>
      </c>
      <c r="R22" s="16">
        <f>Q22-H22</f>
        <v/>
      </c>
      <c r="S22" s="19">
        <f>IF(H22=0,0,R22/H22)</f>
        <v/>
      </c>
      <c r="T22" s="20">
        <f>IF(L22&lt;Parametros!$B$8,"PAGA COSTO FIJO",IF(S22&gt;=I22,"OK","AJUSTAR"))</f>
        <v/>
      </c>
      <c r="U22" s="16">
        <f>L22/(1+Parametros!$B$4)/G22</f>
        <v/>
      </c>
      <c r="V22" s="19">
        <f>IF(E22=0,0,U22/E22-1)</f>
        <v/>
      </c>
      <c r="W22" s="27" t="inlineStr">
        <is>
          <t>BANDERA (envío gratis)</t>
        </is>
      </c>
    </row>
  </sheetData>
  <conditionalFormatting sqref="T4:T22">
    <cfRule type="cellIs" priority="1" operator="equal" dxfId="2">
      <formula>"OK"</formula>
    </cfRule>
    <cfRule type="cellIs" priority="2" operator="equal" dxfId="1">
      <formula>"AJUSTAR"</formula>
    </cfRule>
    <cfRule type="cellIs" priority="3" operator="equal" dxfId="0">
      <formula>"PAGA COSTO FIJO"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10" defaultColWidth="9.140625" defaultRowHeight="15"/>
  <cols>
    <col width="16" customWidth="1" min="1" max="4"/>
  </cols>
  <sheetData>
    <row r="1">
      <c r="A1" s="3" t="inlineStr">
        <is>
          <t>Comisiones reales — API ML 16-jul-2026 (MLA405117, Clásica/gold_special)</t>
        </is>
      </c>
    </row>
    <row r="2">
      <c r="A2" s="2" t="inlineStr">
        <is>
          <t>GET /sites/MLA/listing_prices?price=X&amp;listing_type_id=gold_special&amp;category_id=MLA405117</t>
        </is>
      </c>
    </row>
    <row r="4">
      <c r="A4" s="21" t="inlineStr">
        <is>
          <t>Precio final $</t>
        </is>
      </c>
      <c r="B4" s="21" t="inlineStr">
        <is>
          <t>Comisión % ($)</t>
        </is>
      </c>
      <c r="C4" s="21" t="inlineStr">
        <is>
          <t>Costo fijo $</t>
        </is>
      </c>
      <c r="D4" s="21" t="inlineStr">
        <is>
          <t>Fee total $</t>
        </is>
      </c>
    </row>
    <row r="5">
      <c r="A5" s="22" t="n">
        <v>2000</v>
      </c>
      <c r="B5" s="22" t="n">
        <v>306.42</v>
      </c>
      <c r="C5" s="22" t="n">
        <v>1250</v>
      </c>
      <c r="D5" s="22" t="n">
        <v>1556.42</v>
      </c>
    </row>
    <row r="6">
      <c r="A6" s="22" t="n">
        <v>5000</v>
      </c>
      <c r="B6" s="22" t="n">
        <v>766.04</v>
      </c>
      <c r="C6" s="22" t="n">
        <v>1250</v>
      </c>
      <c r="D6" s="22" t="n">
        <v>2016.04</v>
      </c>
    </row>
    <row r="7">
      <c r="A7" s="22" t="n">
        <v>10000</v>
      </c>
      <c r="B7" s="22" t="n">
        <v>1532.08</v>
      </c>
      <c r="C7" s="22" t="n">
        <v>1250</v>
      </c>
      <c r="D7" s="22" t="n">
        <v>2782.08</v>
      </c>
    </row>
    <row r="8">
      <c r="A8" s="22" t="n">
        <v>15000</v>
      </c>
      <c r="B8" s="22" t="n">
        <v>2298.13</v>
      </c>
      <c r="C8" s="22" t="n">
        <v>1250</v>
      </c>
      <c r="D8" s="22" t="n">
        <v>3548.13</v>
      </c>
    </row>
    <row r="9">
      <c r="A9" s="22" t="n">
        <v>20000</v>
      </c>
      <c r="B9" s="22" t="n">
        <v>3064.17</v>
      </c>
      <c r="C9" s="22" t="n">
        <v>2505</v>
      </c>
      <c r="D9" s="22" t="n">
        <v>5569.17</v>
      </c>
    </row>
    <row r="10">
      <c r="A10" s="22" t="n">
        <v>30000</v>
      </c>
      <c r="B10" s="22" t="n">
        <v>4596.26</v>
      </c>
      <c r="C10" s="22" t="n">
        <v>3005</v>
      </c>
      <c r="D10" s="22" t="n">
        <v>7601.26</v>
      </c>
    </row>
    <row r="11">
      <c r="A11" s="22" t="n">
        <v>40000</v>
      </c>
      <c r="B11" s="22" t="n">
        <v>6128.34</v>
      </c>
      <c r="C11" s="22" t="n">
        <v>0</v>
      </c>
      <c r="D11" s="22" t="n">
        <v>6128.34</v>
      </c>
    </row>
    <row r="12">
      <c r="A12" s="22" t="n">
        <v>60000</v>
      </c>
      <c r="B12" s="22" t="n">
        <v>9192.51</v>
      </c>
      <c r="C12" s="22" t="n">
        <v>0</v>
      </c>
      <c r="D12" s="22" t="n">
        <v>9192.51</v>
      </c>
    </row>
    <row r="13">
      <c r="A13" s="22" t="n">
        <v>80000</v>
      </c>
      <c r="B13" s="22" t="n">
        <v>12256.68</v>
      </c>
      <c r="C13" s="22" t="n">
        <v>0</v>
      </c>
      <c r="D13" s="22" t="n">
        <v>12256.68</v>
      </c>
    </row>
    <row r="14">
      <c r="A14" s="22" t="n">
        <v>120000</v>
      </c>
      <c r="B14" s="22" t="n">
        <v>18385.02</v>
      </c>
      <c r="C14" s="22" t="n">
        <v>0</v>
      </c>
      <c r="D14" s="22" t="n">
        <v>18385.02</v>
      </c>
    </row>
    <row r="16">
      <c r="A16" s="23" t="inlineStr">
        <is>
          <t>Comisión porcentual constante: 15,32085%. El costo fijo desaparece a partir de $40.000.</t>
        </is>
      </c>
    </row>
    <row r="17">
      <c r="A17" s="2" t="inlineStr">
        <is>
          <t>OJO: ML actualiza estos valores varias veces al año. Ante dudas, re-consultar la API o el simulador de 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2026-07-16T13:27:11Z</dcterms:created>
  <dcterms:modified xsi:type="dcterms:W3CDTF">2026-07-17T19:08:04Z</dcterms:modified>
  <cp:lastModifiedBy>Usuario</cp:lastModifiedBy>
</cp:coreProperties>
</file>